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Amsa Assurance\Plateforme Santé\Rshiny\Tarif_sante\"/>
    </mc:Choice>
  </mc:AlternateContent>
  <xr:revisionPtr revIDLastSave="0" documentId="13_ncr:1_{1AF97776-FB8F-44E4-92E0-0670C64CC69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G2" i="3"/>
  <c r="F2" i="3"/>
  <c r="E2" i="3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E2" i="2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<sst xmlns="http://schemas.openxmlformats.org/spreadsheetml/2006/main" count="48" uniqueCount="10">
  <si>
    <t>TERRITORIALITE</t>
  </si>
  <si>
    <t>TAUX</t>
  </si>
  <si>
    <t>Prime_enfant</t>
  </si>
  <si>
    <t>Prime_adulte</t>
  </si>
  <si>
    <t>Sénégal</t>
  </si>
  <si>
    <t>Afrique</t>
  </si>
  <si>
    <t>Monde entier</t>
  </si>
  <si>
    <t>Prime_senior_61_65</t>
  </si>
  <si>
    <t>Prime_senior_66_70</t>
  </si>
  <si>
    <t>Prime_senior_71_80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</si>
</sst>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1" applyNumberFormat="1" applyFont="1" applyAlignment="1">
      <alignment horizontal="center"/>
    </xf>
    <xf numFmtId="1" fontId="0" fillId="0" borderId="0" xfId="1" applyNumberFormat="1" applyFont="1"/>
    <xf numFmtId="1" fontId="0" fillId="0" borderId="0" xfId="0" applyNumberFormat="1"/>
  </cellXfs>
  <cellStyles count="3">
    <cellStyle name="Milliers" xfId="1" builtinId="3"/>
    <cellStyle name="Milliers 2" xfId="2" xr:uid="{F4FD664B-BEC7-4748-BF93-728325B28EF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sqref="A1:G10"/>
    </sheetView>
  </sheetViews>
  <sheetFormatPr baseColWidth="10" defaultRowHeight="15" x14ac:dyDescent="0.25"/>
  <cols>
    <col min="1" max="1" width="14.7109375" bestFit="1" customWidth="1"/>
    <col min="3" max="3" width="13.140625" bestFit="1" customWidth="1"/>
    <col min="4" max="4" width="13" bestFit="1" customWidth="1"/>
    <col min="5" max="7" width="19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2</v>
      </c>
      <c r="E1" t="s">
        <v>7</v>
      </c>
      <c r="F1" t="s">
        <v>8</v>
      </c>
      <c r="G1" t="s">
        <v>9</v>
      </c>
    </row>
    <row r="2" spans="1:7" x14ac:dyDescent="0.25">
      <c r="A2" t="s">
        <v>4</v>
      </c>
      <c r="B2">
        <v>80</v>
      </c>
      <c r="C2" s="1">
        <v>180000</v>
      </c>
      <c r="D2" s="1">
        <v>100000</v>
      </c>
      <c r="E2" s="3">
        <f>C2*(1+25%)</f>
        <v>225000</v>
      </c>
      <c r="F2">
        <f>C2*(1+45%)</f>
        <v>261000</v>
      </c>
      <c r="G2">
        <f>C2*(1+75%)</f>
        <v>315000</v>
      </c>
    </row>
    <row r="3" spans="1:7" x14ac:dyDescent="0.25">
      <c r="A3" t="s">
        <v>4</v>
      </c>
      <c r="B3">
        <v>90</v>
      </c>
      <c r="C3" s="1">
        <v>200000</v>
      </c>
      <c r="D3" s="1">
        <v>115000</v>
      </c>
      <c r="E3" s="3">
        <f t="shared" ref="E3:E10" si="0">C3*(1+25%)</f>
        <v>250000</v>
      </c>
      <c r="F3">
        <f t="shared" ref="F3:F10" si="1">C3*(1+45%)</f>
        <v>290000</v>
      </c>
      <c r="G3">
        <f t="shared" ref="G3:G10" si="2">C3*(1+75%)</f>
        <v>350000</v>
      </c>
    </row>
    <row r="4" spans="1:7" x14ac:dyDescent="0.25">
      <c r="A4" t="s">
        <v>4</v>
      </c>
      <c r="B4">
        <v>100</v>
      </c>
      <c r="C4" s="1">
        <v>250000</v>
      </c>
      <c r="D4" s="1">
        <v>135000</v>
      </c>
      <c r="E4" s="3">
        <f t="shared" si="0"/>
        <v>312500</v>
      </c>
      <c r="F4">
        <f t="shared" si="1"/>
        <v>362500</v>
      </c>
      <c r="G4">
        <f t="shared" si="2"/>
        <v>437500</v>
      </c>
    </row>
    <row r="5" spans="1:7" x14ac:dyDescent="0.25">
      <c r="A5" t="s">
        <v>5</v>
      </c>
      <c r="B5">
        <v>80</v>
      </c>
      <c r="C5" s="2">
        <v>260000</v>
      </c>
      <c r="D5" s="2">
        <v>125000</v>
      </c>
      <c r="E5" s="3">
        <f t="shared" si="0"/>
        <v>325000</v>
      </c>
      <c r="F5">
        <f t="shared" si="1"/>
        <v>377000</v>
      </c>
      <c r="G5">
        <f t="shared" si="2"/>
        <v>455000</v>
      </c>
    </row>
    <row r="6" spans="1:7" x14ac:dyDescent="0.25">
      <c r="A6" t="s">
        <v>5</v>
      </c>
      <c r="B6">
        <v>90</v>
      </c>
      <c r="C6" s="2">
        <v>285000</v>
      </c>
      <c r="D6" s="2">
        <v>140000</v>
      </c>
      <c r="E6" s="3">
        <f t="shared" si="0"/>
        <v>356250</v>
      </c>
      <c r="F6">
        <f t="shared" si="1"/>
        <v>413250</v>
      </c>
      <c r="G6">
        <f t="shared" si="2"/>
        <v>498750</v>
      </c>
    </row>
    <row r="7" spans="1:7" x14ac:dyDescent="0.25">
      <c r="A7" t="s">
        <v>5</v>
      </c>
      <c r="B7">
        <v>100</v>
      </c>
      <c r="C7" s="2">
        <v>355000</v>
      </c>
      <c r="D7" s="2">
        <v>175000</v>
      </c>
      <c r="E7" s="3">
        <f t="shared" si="0"/>
        <v>443750</v>
      </c>
      <c r="F7">
        <f t="shared" si="1"/>
        <v>514750</v>
      </c>
      <c r="G7">
        <f t="shared" si="2"/>
        <v>621250</v>
      </c>
    </row>
    <row r="8" spans="1:7" x14ac:dyDescent="0.25">
      <c r="A8" t="s">
        <v>6</v>
      </c>
      <c r="B8">
        <v>80</v>
      </c>
      <c r="C8" s="2">
        <v>395000</v>
      </c>
      <c r="D8" s="2">
        <v>265000</v>
      </c>
      <c r="E8" s="3">
        <f t="shared" si="0"/>
        <v>493750</v>
      </c>
      <c r="F8">
        <f t="shared" si="1"/>
        <v>572750</v>
      </c>
      <c r="G8">
        <f t="shared" si="2"/>
        <v>691250</v>
      </c>
    </row>
    <row r="9" spans="1:7" x14ac:dyDescent="0.25">
      <c r="A9" t="s">
        <v>6</v>
      </c>
      <c r="B9">
        <v>90</v>
      </c>
      <c r="C9" s="2">
        <v>435000</v>
      </c>
      <c r="D9" s="2">
        <v>300000</v>
      </c>
      <c r="E9" s="3">
        <f t="shared" si="0"/>
        <v>543750</v>
      </c>
      <c r="F9">
        <f t="shared" si="1"/>
        <v>630750</v>
      </c>
      <c r="G9">
        <f t="shared" si="2"/>
        <v>761250</v>
      </c>
    </row>
    <row r="10" spans="1:7" x14ac:dyDescent="0.25">
      <c r="A10" t="s">
        <v>6</v>
      </c>
      <c r="B10">
        <v>100</v>
      </c>
      <c r="C10" s="2">
        <v>545000</v>
      </c>
      <c r="D10" s="2">
        <v>370000</v>
      </c>
      <c r="E10" s="3">
        <f t="shared" si="0"/>
        <v>681250</v>
      </c>
      <c r="F10">
        <f t="shared" si="1"/>
        <v>790250</v>
      </c>
      <c r="G10">
        <f t="shared" si="2"/>
        <v>953750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3C0F-F0E0-4B89-922E-DE04801C0E22}">
  <dimension ref="A1:G10"/>
  <sheetViews>
    <sheetView workbookViewId="0">
      <selection sqref="A1:G1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3</v>
      </c>
      <c r="D1" t="s">
        <v>2</v>
      </c>
      <c r="E1" t="s">
        <v>7</v>
      </c>
      <c r="F1" t="s">
        <v>8</v>
      </c>
      <c r="G1" t="s">
        <v>9</v>
      </c>
    </row>
    <row r="2" spans="1:7" x14ac:dyDescent="0.25">
      <c r="A2" t="s">
        <v>4</v>
      </c>
      <c r="B2">
        <v>80</v>
      </c>
      <c r="C2" s="1">
        <v>180000</v>
      </c>
      <c r="D2" s="1">
        <v>100000</v>
      </c>
      <c r="E2" s="3">
        <f>C2*(1+25%)</f>
        <v>225000</v>
      </c>
      <c r="F2">
        <f>C2*(1+45%)</f>
        <v>261000</v>
      </c>
      <c r="G2">
        <f>C2*(1+75%)</f>
        <v>315000</v>
      </c>
    </row>
    <row r="3" spans="1:7" x14ac:dyDescent="0.25">
      <c r="A3" t="s">
        <v>4</v>
      </c>
      <c r="B3">
        <v>90</v>
      </c>
      <c r="C3" s="1">
        <v>200000</v>
      </c>
      <c r="D3" s="1">
        <v>115000</v>
      </c>
      <c r="E3" s="3">
        <f t="shared" ref="E3:E10" si="0">C3*(1+25%)</f>
        <v>250000</v>
      </c>
      <c r="F3">
        <f t="shared" ref="F3:F10" si="1">C3*(1+45%)</f>
        <v>290000</v>
      </c>
      <c r="G3">
        <f t="shared" ref="G3:G10" si="2">C3*(1+75%)</f>
        <v>350000</v>
      </c>
    </row>
    <row r="4" spans="1:7" x14ac:dyDescent="0.25">
      <c r="A4" t="s">
        <v>4</v>
      </c>
      <c r="B4">
        <v>100</v>
      </c>
      <c r="C4" s="1">
        <v>250000</v>
      </c>
      <c r="D4" s="1">
        <v>135000</v>
      </c>
      <c r="E4" s="3">
        <f t="shared" si="0"/>
        <v>312500</v>
      </c>
      <c r="F4">
        <f t="shared" si="1"/>
        <v>362500</v>
      </c>
      <c r="G4">
        <f t="shared" si="2"/>
        <v>437500</v>
      </c>
    </row>
    <row r="5" spans="1:7" x14ac:dyDescent="0.25">
      <c r="A5" t="s">
        <v>5</v>
      </c>
      <c r="B5">
        <v>80</v>
      </c>
      <c r="C5" s="2">
        <v>260000</v>
      </c>
      <c r="D5" s="2">
        <v>125000</v>
      </c>
      <c r="E5" s="3">
        <f t="shared" si="0"/>
        <v>325000</v>
      </c>
      <c r="F5">
        <f t="shared" si="1"/>
        <v>377000</v>
      </c>
      <c r="G5">
        <f t="shared" si="2"/>
        <v>455000</v>
      </c>
    </row>
    <row r="6" spans="1:7" x14ac:dyDescent="0.25">
      <c r="A6" t="s">
        <v>5</v>
      </c>
      <c r="B6">
        <v>90</v>
      </c>
      <c r="C6" s="2">
        <v>285000</v>
      </c>
      <c r="D6" s="2">
        <v>140000</v>
      </c>
      <c r="E6" s="3">
        <f t="shared" si="0"/>
        <v>356250</v>
      </c>
      <c r="F6">
        <f t="shared" si="1"/>
        <v>413250</v>
      </c>
      <c r="G6">
        <f t="shared" si="2"/>
        <v>498750</v>
      </c>
    </row>
    <row r="7" spans="1:7" x14ac:dyDescent="0.25">
      <c r="A7" t="s">
        <v>5</v>
      </c>
      <c r="B7">
        <v>100</v>
      </c>
      <c r="C7" s="2">
        <v>355000</v>
      </c>
      <c r="D7" s="2">
        <v>175000</v>
      </c>
      <c r="E7" s="3">
        <f t="shared" si="0"/>
        <v>443750</v>
      </c>
      <c r="F7">
        <f t="shared" si="1"/>
        <v>514750</v>
      </c>
      <c r="G7">
        <f t="shared" si="2"/>
        <v>621250</v>
      </c>
    </row>
    <row r="8" spans="1:7" x14ac:dyDescent="0.25">
      <c r="A8" t="s">
        <v>6</v>
      </c>
      <c r="B8">
        <v>80</v>
      </c>
      <c r="C8" s="2">
        <v>395000</v>
      </c>
      <c r="D8" s="2">
        <v>265000</v>
      </c>
      <c r="E8" s="3">
        <f t="shared" si="0"/>
        <v>493750</v>
      </c>
      <c r="F8">
        <f t="shared" si="1"/>
        <v>572750</v>
      </c>
      <c r="G8">
        <f t="shared" si="2"/>
        <v>691250</v>
      </c>
    </row>
    <row r="9" spans="1:7" x14ac:dyDescent="0.25">
      <c r="A9" t="s">
        <v>6</v>
      </c>
      <c r="B9">
        <v>90</v>
      </c>
      <c r="C9" s="2">
        <v>435000</v>
      </c>
      <c r="D9" s="2">
        <v>300000</v>
      </c>
      <c r="E9" s="3">
        <f t="shared" si="0"/>
        <v>543750</v>
      </c>
      <c r="F9">
        <f t="shared" si="1"/>
        <v>630750</v>
      </c>
      <c r="G9">
        <f t="shared" si="2"/>
        <v>761250</v>
      </c>
    </row>
    <row r="10" spans="1:7" x14ac:dyDescent="0.25">
      <c r="A10" t="s">
        <v>6</v>
      </c>
      <c r="B10">
        <v>100</v>
      </c>
      <c r="C10" s="2">
        <v>545000</v>
      </c>
      <c r="D10" s="2">
        <v>370000</v>
      </c>
      <c r="E10" s="3">
        <f t="shared" si="0"/>
        <v>681250</v>
      </c>
      <c r="F10">
        <f t="shared" si="1"/>
        <v>790250</v>
      </c>
      <c r="G10">
        <f t="shared" si="2"/>
        <v>953750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81C2-2A95-46FF-82EE-C4E834BDA1BE}">
  <dimension ref="A1:G10"/>
  <sheetViews>
    <sheetView tabSelected="1" workbookViewId="0">
      <selection activeCell="E14" sqref="E14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3</v>
      </c>
      <c r="D1" t="s">
        <v>2</v>
      </c>
      <c r="E1" t="s">
        <v>7</v>
      </c>
      <c r="F1" t="s">
        <v>8</v>
      </c>
      <c r="G1" t="s">
        <v>9</v>
      </c>
    </row>
    <row r="2" spans="1:7" x14ac:dyDescent="0.25">
      <c r="A2" t="s">
        <v>4</v>
      </c>
      <c r="B2">
        <v>80</v>
      </c>
      <c r="C2" s="1">
        <v>180000</v>
      </c>
      <c r="D2" s="1">
        <v>100000</v>
      </c>
      <c r="E2" s="3">
        <f>C2*(1+25%)</f>
        <v>225000</v>
      </c>
      <c r="F2">
        <f>C2*(1+45%)</f>
        <v>261000</v>
      </c>
      <c r="G2">
        <f>C2*(1+75%)</f>
        <v>315000</v>
      </c>
    </row>
    <row r="3" spans="1:7" x14ac:dyDescent="0.25">
      <c r="A3" t="s">
        <v>4</v>
      </c>
      <c r="B3">
        <v>90</v>
      </c>
      <c r="C3" s="1">
        <v>200000</v>
      </c>
      <c r="D3" s="1">
        <v>115000</v>
      </c>
      <c r="E3" s="3">
        <f t="shared" ref="E3:E10" si="0">C3*(1+25%)</f>
        <v>250000</v>
      </c>
      <c r="F3">
        <f t="shared" ref="F3:F10" si="1">C3*(1+45%)</f>
        <v>290000</v>
      </c>
      <c r="G3">
        <f t="shared" ref="G3:G10" si="2">C3*(1+75%)</f>
        <v>350000</v>
      </c>
    </row>
    <row r="4" spans="1:7" x14ac:dyDescent="0.25">
      <c r="A4" t="s">
        <v>4</v>
      </c>
      <c r="B4">
        <v>100</v>
      </c>
      <c r="C4" s="1">
        <v>250000</v>
      </c>
      <c r="D4" s="1">
        <v>135000</v>
      </c>
      <c r="E4" s="3">
        <f t="shared" si="0"/>
        <v>312500</v>
      </c>
      <c r="F4">
        <f t="shared" si="1"/>
        <v>362500</v>
      </c>
      <c r="G4">
        <f t="shared" si="2"/>
        <v>437500</v>
      </c>
    </row>
    <row r="5" spans="1:7" x14ac:dyDescent="0.25">
      <c r="A5" t="s">
        <v>5</v>
      </c>
      <c r="B5">
        <v>80</v>
      </c>
      <c r="C5" s="2">
        <v>260000</v>
      </c>
      <c r="D5" s="2">
        <v>125000</v>
      </c>
      <c r="E5" s="3">
        <f t="shared" si="0"/>
        <v>325000</v>
      </c>
      <c r="F5">
        <f t="shared" si="1"/>
        <v>377000</v>
      </c>
      <c r="G5">
        <f t="shared" si="2"/>
        <v>455000</v>
      </c>
    </row>
    <row r="6" spans="1:7" x14ac:dyDescent="0.25">
      <c r="A6" t="s">
        <v>5</v>
      </c>
      <c r="B6">
        <v>90</v>
      </c>
      <c r="C6" s="2">
        <v>285000</v>
      </c>
      <c r="D6" s="2">
        <v>140000</v>
      </c>
      <c r="E6" s="3">
        <f t="shared" si="0"/>
        <v>356250</v>
      </c>
      <c r="F6">
        <f t="shared" si="1"/>
        <v>413250</v>
      </c>
      <c r="G6">
        <f t="shared" si="2"/>
        <v>498750</v>
      </c>
    </row>
    <row r="7" spans="1:7" x14ac:dyDescent="0.25">
      <c r="A7" t="s">
        <v>5</v>
      </c>
      <c r="B7">
        <v>100</v>
      </c>
      <c r="C7" s="2">
        <v>355000</v>
      </c>
      <c r="D7" s="2">
        <v>175000</v>
      </c>
      <c r="E7" s="3">
        <f t="shared" si="0"/>
        <v>443750</v>
      </c>
      <c r="F7">
        <f t="shared" si="1"/>
        <v>514750</v>
      </c>
      <c r="G7">
        <f t="shared" si="2"/>
        <v>621250</v>
      </c>
    </row>
    <row r="8" spans="1:7" x14ac:dyDescent="0.25">
      <c r="A8" t="s">
        <v>6</v>
      </c>
      <c r="B8">
        <v>80</v>
      </c>
      <c r="C8" s="2">
        <v>395000</v>
      </c>
      <c r="D8" s="2">
        <v>265000</v>
      </c>
      <c r="E8" s="3">
        <f t="shared" si="0"/>
        <v>493750</v>
      </c>
      <c r="F8">
        <f t="shared" si="1"/>
        <v>572750</v>
      </c>
      <c r="G8">
        <f t="shared" si="2"/>
        <v>691250</v>
      </c>
    </row>
    <row r="9" spans="1:7" x14ac:dyDescent="0.25">
      <c r="A9" t="s">
        <v>6</v>
      </c>
      <c r="B9">
        <v>90</v>
      </c>
      <c r="C9" s="2">
        <v>435000</v>
      </c>
      <c r="D9" s="2">
        <v>300000</v>
      </c>
      <c r="E9" s="3">
        <f t="shared" si="0"/>
        <v>543750</v>
      </c>
      <c r="F9">
        <f t="shared" si="1"/>
        <v>630750</v>
      </c>
      <c r="G9">
        <f t="shared" si="2"/>
        <v>761250</v>
      </c>
    </row>
    <row r="10" spans="1:7" x14ac:dyDescent="0.25">
      <c r="A10" t="s">
        <v>6</v>
      </c>
      <c r="B10">
        <v>100</v>
      </c>
      <c r="C10" s="2">
        <v>545000</v>
      </c>
      <c r="D10" s="2">
        <v>370000</v>
      </c>
      <c r="E10" s="3">
        <f t="shared" si="0"/>
        <v>681250</v>
      </c>
      <c r="F10">
        <f t="shared" si="1"/>
        <v>790250</v>
      </c>
      <c r="G10">
        <f t="shared" si="2"/>
        <v>953750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2025-08-31T09:44:20Z</dcterms:modified>
</cp:coreProperties>
</file>